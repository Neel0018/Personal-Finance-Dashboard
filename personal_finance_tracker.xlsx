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Category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6"/>
    </font>
    <font>
      <name val="Arial"/>
      <b val="1"/>
      <color rgb="00FFFFFF"/>
      <sz val="10"/>
    </font>
    <font>
      <name val="Arial"/>
      <b val="1"/>
      <sz val="16"/>
    </font>
    <font>
      <name val="Arial"/>
      <b val="1"/>
      <color rgb="001F4E79"/>
      <sz val="12"/>
    </font>
    <font>
      <name val="Arial"/>
      <b val="1"/>
      <sz val="10"/>
    </font>
    <font>
      <name val="Arial"/>
      <b val="1"/>
      <color rgb="00FFFFFF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C55A11"/>
      </patternFill>
    </fill>
    <fill>
      <patternFill patternType="solid">
        <fgColor rgb="00FBE9E7"/>
      </patternFill>
    </fill>
    <fill>
      <patternFill patternType="solid">
        <fgColor rgb="00375623"/>
      </patternFill>
    </fill>
    <fill>
      <patternFill patternType="solid">
        <fgColor rgb="00E9F3E9"/>
      </patternFill>
    </fill>
    <fill>
      <patternFill patternType="solid">
        <fgColor rgb="007030A0"/>
      </patternFill>
    </fill>
    <fill>
      <patternFill patternType="solid">
        <fgColor rgb="00F3E8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164" fontId="6" fillId="9" borderId="1" applyAlignment="1" pivotButton="0" quotePrefix="0" xfId="0">
      <alignment horizontal="center" vertical="center"/>
    </xf>
    <xf numFmtId="164" fontId="6" fillId="11" borderId="1" applyAlignment="1" pivotButton="0" quotePrefix="0" xfId="0">
      <alignment horizontal="center" vertical="center"/>
    </xf>
    <xf numFmtId="165" fontId="6" fillId="13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164" fontId="3" fillId="14" borderId="1" applyAlignment="1" pivotButton="0" quotePrefix="0" xfId="0">
      <alignment horizontal="center" vertical="center"/>
    </xf>
    <xf numFmtId="165" fontId="3" fillId="1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0" fontId="9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2" customWidth="1" min="4" max="4"/>
    <col width="16" customWidth="1" min="5" max="5"/>
    <col width="12" customWidth="1" min="6" max="6"/>
  </cols>
  <sheetData>
    <row r="1" ht="30" customHeight="1">
      <c r="A1" s="1" t="inlineStr">
        <is>
          <t>💰 Personal Finance &amp; Budget Tracker</t>
        </is>
      </c>
    </row>
    <row r="2" ht="22" customHeight="1">
      <c r="A2" s="2" t="inlineStr">
        <is>
          <t>Date</t>
        </is>
      </c>
      <c r="B2" s="2" t="inlineStr">
        <is>
          <t>Description</t>
        </is>
      </c>
      <c r="C2" s="2" t="inlineStr">
        <is>
          <t>Category</t>
        </is>
      </c>
      <c r="D2" s="2" t="inlineStr">
        <is>
          <t>Type</t>
        </is>
      </c>
      <c r="E2" s="2" t="inlineStr">
        <is>
          <t>Amount (₹)</t>
        </is>
      </c>
      <c r="F2" s="2" t="inlineStr">
        <is>
          <t>Month</t>
        </is>
      </c>
    </row>
    <row r="3">
      <c r="A3" s="3" t="inlineStr">
        <is>
          <t>01/01/2025</t>
        </is>
      </c>
      <c r="B3" s="4" t="inlineStr">
        <is>
          <t>Monthly Salary</t>
        </is>
      </c>
      <c r="C3" s="3" t="inlineStr">
        <is>
          <t>Salary</t>
        </is>
      </c>
      <c r="D3" s="3" t="inlineStr">
        <is>
          <t>Income</t>
        </is>
      </c>
      <c r="E3" s="5" t="n">
        <v>50000</v>
      </c>
      <c r="F3" s="3" t="inlineStr">
        <is>
          <t>January</t>
        </is>
      </c>
    </row>
    <row r="4">
      <c r="A4" s="6" t="inlineStr">
        <is>
          <t>03/01/2025</t>
        </is>
      </c>
      <c r="B4" s="7" t="inlineStr">
        <is>
          <t>House Rent</t>
        </is>
      </c>
      <c r="C4" s="6" t="inlineStr">
        <is>
          <t>Rent</t>
        </is>
      </c>
      <c r="D4" s="6" t="inlineStr">
        <is>
          <t>Expense</t>
        </is>
      </c>
      <c r="E4" s="8" t="n">
        <v>12000</v>
      </c>
      <c r="F4" s="6" t="inlineStr">
        <is>
          <t>January</t>
        </is>
      </c>
    </row>
    <row r="5">
      <c r="A5" s="9" t="inlineStr">
        <is>
          <t>05/01/2025</t>
        </is>
      </c>
      <c r="B5" s="10" t="inlineStr">
        <is>
          <t>Grocery Shopping</t>
        </is>
      </c>
      <c r="C5" s="9" t="inlineStr">
        <is>
          <t>Food</t>
        </is>
      </c>
      <c r="D5" s="9" t="inlineStr">
        <is>
          <t>Expense</t>
        </is>
      </c>
      <c r="E5" s="11" t="n">
        <v>3500</v>
      </c>
      <c r="F5" s="9" t="inlineStr">
        <is>
          <t>January</t>
        </is>
      </c>
    </row>
    <row r="6">
      <c r="A6" s="6" t="inlineStr">
        <is>
          <t>07/01/2025</t>
        </is>
      </c>
      <c r="B6" s="7" t="inlineStr">
        <is>
          <t>Electricity Bill</t>
        </is>
      </c>
      <c r="C6" s="6" t="inlineStr">
        <is>
          <t>Utilities</t>
        </is>
      </c>
      <c r="D6" s="6" t="inlineStr">
        <is>
          <t>Expense</t>
        </is>
      </c>
      <c r="E6" s="8" t="n">
        <v>1200</v>
      </c>
      <c r="F6" s="6" t="inlineStr">
        <is>
          <t>January</t>
        </is>
      </c>
    </row>
    <row r="7">
      <c r="A7" s="9" t="inlineStr">
        <is>
          <t>10/01/2025</t>
        </is>
      </c>
      <c r="B7" s="10" t="inlineStr">
        <is>
          <t>Mobile Recharge</t>
        </is>
      </c>
      <c r="C7" s="9" t="inlineStr">
        <is>
          <t>Utilities</t>
        </is>
      </c>
      <c r="D7" s="9" t="inlineStr">
        <is>
          <t>Expense</t>
        </is>
      </c>
      <c r="E7" s="11" t="n">
        <v>499</v>
      </c>
      <c r="F7" s="9" t="inlineStr">
        <is>
          <t>January</t>
        </is>
      </c>
    </row>
    <row r="8">
      <c r="A8" s="6" t="inlineStr">
        <is>
          <t>12/01/2025</t>
        </is>
      </c>
      <c r="B8" s="7" t="inlineStr">
        <is>
          <t>Restaurant Dinner</t>
        </is>
      </c>
      <c r="C8" s="6" t="inlineStr">
        <is>
          <t>Food</t>
        </is>
      </c>
      <c r="D8" s="6" t="inlineStr">
        <is>
          <t>Expense</t>
        </is>
      </c>
      <c r="E8" s="8" t="n">
        <v>1800</v>
      </c>
      <c r="F8" s="6" t="inlineStr">
        <is>
          <t>January</t>
        </is>
      </c>
    </row>
    <row r="9">
      <c r="A9" s="3" t="inlineStr">
        <is>
          <t>15/01/2025</t>
        </is>
      </c>
      <c r="B9" s="4" t="inlineStr">
        <is>
          <t>Freelance Payment</t>
        </is>
      </c>
      <c r="C9" s="3" t="inlineStr">
        <is>
          <t>Freelance</t>
        </is>
      </c>
      <c r="D9" s="3" t="inlineStr">
        <is>
          <t>Income</t>
        </is>
      </c>
      <c r="E9" s="5" t="n">
        <v>8000</v>
      </c>
      <c r="F9" s="3" t="inlineStr">
        <is>
          <t>January</t>
        </is>
      </c>
    </row>
    <row r="10">
      <c r="A10" s="6" t="inlineStr">
        <is>
          <t>18/01/2025</t>
        </is>
      </c>
      <c r="B10" s="7" t="inlineStr">
        <is>
          <t>Bus &amp; Auto Fare</t>
        </is>
      </c>
      <c r="C10" s="6" t="inlineStr">
        <is>
          <t>Transport</t>
        </is>
      </c>
      <c r="D10" s="6" t="inlineStr">
        <is>
          <t>Expense</t>
        </is>
      </c>
      <c r="E10" s="8" t="n">
        <v>900</v>
      </c>
      <c r="F10" s="6" t="inlineStr">
        <is>
          <t>January</t>
        </is>
      </c>
    </row>
    <row r="11">
      <c r="A11" s="9" t="inlineStr">
        <is>
          <t>20/01/2025</t>
        </is>
      </c>
      <c r="B11" s="10" t="inlineStr">
        <is>
          <t>Movie &amp; OTT</t>
        </is>
      </c>
      <c r="C11" s="9" t="inlineStr">
        <is>
          <t>Entertainment</t>
        </is>
      </c>
      <c r="D11" s="9" t="inlineStr">
        <is>
          <t>Expense</t>
        </is>
      </c>
      <c r="E11" s="11" t="n">
        <v>699</v>
      </c>
      <c r="F11" s="9" t="inlineStr">
        <is>
          <t>January</t>
        </is>
      </c>
    </row>
    <row r="12">
      <c r="A12" s="6" t="inlineStr">
        <is>
          <t>22/01/2025</t>
        </is>
      </c>
      <c r="B12" s="7" t="inlineStr">
        <is>
          <t>Doctor Visit</t>
        </is>
      </c>
      <c r="C12" s="6" t="inlineStr">
        <is>
          <t>Healthcare</t>
        </is>
      </c>
      <c r="D12" s="6" t="inlineStr">
        <is>
          <t>Expense</t>
        </is>
      </c>
      <c r="E12" s="8" t="n">
        <v>500</v>
      </c>
      <c r="F12" s="6" t="inlineStr">
        <is>
          <t>January</t>
        </is>
      </c>
    </row>
    <row r="13">
      <c r="A13" s="9" t="inlineStr">
        <is>
          <t>25/01/2025</t>
        </is>
      </c>
      <c r="B13" s="10" t="inlineStr">
        <is>
          <t>Grocery Shopping</t>
        </is>
      </c>
      <c r="C13" s="9" t="inlineStr">
        <is>
          <t>Food</t>
        </is>
      </c>
      <c r="D13" s="9" t="inlineStr">
        <is>
          <t>Expense</t>
        </is>
      </c>
      <c r="E13" s="11" t="n">
        <v>2800</v>
      </c>
      <c r="F13" s="9" t="inlineStr">
        <is>
          <t>January</t>
        </is>
      </c>
    </row>
    <row r="14">
      <c r="A14" s="6" t="inlineStr">
        <is>
          <t>28/01/2025</t>
        </is>
      </c>
      <c r="B14" s="7" t="inlineStr">
        <is>
          <t>Internet Bill</t>
        </is>
      </c>
      <c r="C14" s="6" t="inlineStr">
        <is>
          <t>Utilities</t>
        </is>
      </c>
      <c r="D14" s="6" t="inlineStr">
        <is>
          <t>Expense</t>
        </is>
      </c>
      <c r="E14" s="8" t="n">
        <v>799</v>
      </c>
      <c r="F14" s="6" t="inlineStr">
        <is>
          <t>January</t>
        </is>
      </c>
    </row>
    <row r="15">
      <c r="A15" s="3" t="inlineStr">
        <is>
          <t>01/02/2025</t>
        </is>
      </c>
      <c r="B15" s="4" t="inlineStr">
        <is>
          <t>Monthly Salary</t>
        </is>
      </c>
      <c r="C15" s="3" t="inlineStr">
        <is>
          <t>Salary</t>
        </is>
      </c>
      <c r="D15" s="3" t="inlineStr">
        <is>
          <t>Income</t>
        </is>
      </c>
      <c r="E15" s="5" t="n">
        <v>50000</v>
      </c>
      <c r="F15" s="3" t="inlineStr">
        <is>
          <t>February</t>
        </is>
      </c>
    </row>
    <row r="16">
      <c r="A16" s="6" t="inlineStr">
        <is>
          <t>03/02/2025</t>
        </is>
      </c>
      <c r="B16" s="7" t="inlineStr">
        <is>
          <t>House Rent</t>
        </is>
      </c>
      <c r="C16" s="6" t="inlineStr">
        <is>
          <t>Rent</t>
        </is>
      </c>
      <c r="D16" s="6" t="inlineStr">
        <is>
          <t>Expense</t>
        </is>
      </c>
      <c r="E16" s="8" t="n">
        <v>12000</v>
      </c>
      <c r="F16" s="6" t="inlineStr">
        <is>
          <t>February</t>
        </is>
      </c>
    </row>
    <row r="17">
      <c r="A17" s="9" t="inlineStr">
        <is>
          <t>06/02/2025</t>
        </is>
      </c>
      <c r="B17" s="10" t="inlineStr">
        <is>
          <t>Grocery Shopping</t>
        </is>
      </c>
      <c r="C17" s="9" t="inlineStr">
        <is>
          <t>Food</t>
        </is>
      </c>
      <c r="D17" s="9" t="inlineStr">
        <is>
          <t>Expense</t>
        </is>
      </c>
      <c r="E17" s="11" t="n">
        <v>3200</v>
      </c>
      <c r="F17" s="9" t="inlineStr">
        <is>
          <t>February</t>
        </is>
      </c>
    </row>
    <row r="18">
      <c r="A18" s="6" t="inlineStr">
        <is>
          <t>08/02/2025</t>
        </is>
      </c>
      <c r="B18" s="7" t="inlineStr">
        <is>
          <t>Electricity Bill</t>
        </is>
      </c>
      <c r="C18" s="6" t="inlineStr">
        <is>
          <t>Utilities</t>
        </is>
      </c>
      <c r="D18" s="6" t="inlineStr">
        <is>
          <t>Expense</t>
        </is>
      </c>
      <c r="E18" s="8" t="n">
        <v>1100</v>
      </c>
      <c r="F18" s="6" t="inlineStr">
        <is>
          <t>February</t>
        </is>
      </c>
    </row>
    <row r="19">
      <c r="A19" s="9" t="inlineStr">
        <is>
          <t>10/02/2025</t>
        </is>
      </c>
      <c r="B19" s="10" t="inlineStr">
        <is>
          <t>Petrol</t>
        </is>
      </c>
      <c r="C19" s="9" t="inlineStr">
        <is>
          <t>Transport</t>
        </is>
      </c>
      <c r="D19" s="9" t="inlineStr">
        <is>
          <t>Expense</t>
        </is>
      </c>
      <c r="E19" s="11" t="n">
        <v>1500</v>
      </c>
      <c r="F19" s="9" t="inlineStr">
        <is>
          <t>February</t>
        </is>
      </c>
    </row>
    <row r="20">
      <c r="A20" s="6" t="inlineStr">
        <is>
          <t>12/02/2025</t>
        </is>
      </c>
      <c r="B20" s="7" t="inlineStr">
        <is>
          <t>Valentine Dinner</t>
        </is>
      </c>
      <c r="C20" s="6" t="inlineStr">
        <is>
          <t>Food</t>
        </is>
      </c>
      <c r="D20" s="6" t="inlineStr">
        <is>
          <t>Expense</t>
        </is>
      </c>
      <c r="E20" s="8" t="n">
        <v>2500</v>
      </c>
      <c r="F20" s="6" t="inlineStr">
        <is>
          <t>February</t>
        </is>
      </c>
    </row>
    <row r="21">
      <c r="A21" s="3" t="inlineStr">
        <is>
          <t>14/02/2025</t>
        </is>
      </c>
      <c r="B21" s="4" t="inlineStr">
        <is>
          <t>Freelance Payment</t>
        </is>
      </c>
      <c r="C21" s="3" t="inlineStr">
        <is>
          <t>Freelance</t>
        </is>
      </c>
      <c r="D21" s="3" t="inlineStr">
        <is>
          <t>Income</t>
        </is>
      </c>
      <c r="E21" s="5" t="n">
        <v>10000</v>
      </c>
      <c r="F21" s="3" t="inlineStr">
        <is>
          <t>February</t>
        </is>
      </c>
    </row>
    <row r="22">
      <c r="A22" s="6" t="inlineStr">
        <is>
          <t>16/02/2025</t>
        </is>
      </c>
      <c r="B22" s="7" t="inlineStr">
        <is>
          <t>Gym Membership</t>
        </is>
      </c>
      <c r="C22" s="6" t="inlineStr">
        <is>
          <t>Healthcare</t>
        </is>
      </c>
      <c r="D22" s="6" t="inlineStr">
        <is>
          <t>Expense</t>
        </is>
      </c>
      <c r="E22" s="8" t="n">
        <v>1200</v>
      </c>
      <c r="F22" s="6" t="inlineStr">
        <is>
          <t>February</t>
        </is>
      </c>
    </row>
    <row r="23">
      <c r="A23" s="9" t="inlineStr">
        <is>
          <t>18/02/2025</t>
        </is>
      </c>
      <c r="B23" s="10" t="inlineStr">
        <is>
          <t>Shopping Clothes</t>
        </is>
      </c>
      <c r="C23" s="9" t="inlineStr">
        <is>
          <t>Entertainment</t>
        </is>
      </c>
      <c r="D23" s="9" t="inlineStr">
        <is>
          <t>Expense</t>
        </is>
      </c>
      <c r="E23" s="11" t="n">
        <v>3500</v>
      </c>
      <c r="F23" s="9" t="inlineStr">
        <is>
          <t>February</t>
        </is>
      </c>
    </row>
    <row r="24">
      <c r="A24" s="6" t="inlineStr">
        <is>
          <t>20/02/2025</t>
        </is>
      </c>
      <c r="B24" s="7" t="inlineStr">
        <is>
          <t>Mobile Recharge</t>
        </is>
      </c>
      <c r="C24" s="6" t="inlineStr">
        <is>
          <t>Utilities</t>
        </is>
      </c>
      <c r="D24" s="6" t="inlineStr">
        <is>
          <t>Expense</t>
        </is>
      </c>
      <c r="E24" s="8" t="n">
        <v>499</v>
      </c>
      <c r="F24" s="6" t="inlineStr">
        <is>
          <t>February</t>
        </is>
      </c>
    </row>
    <row r="25">
      <c r="A25" s="9" t="inlineStr">
        <is>
          <t>22/02/2025</t>
        </is>
      </c>
      <c r="B25" s="10" t="inlineStr">
        <is>
          <t>Internet Bill</t>
        </is>
      </c>
      <c r="C25" s="9" t="inlineStr">
        <is>
          <t>Utilities</t>
        </is>
      </c>
      <c r="D25" s="9" t="inlineStr">
        <is>
          <t>Expense</t>
        </is>
      </c>
      <c r="E25" s="11" t="n">
        <v>799</v>
      </c>
      <c r="F25" s="9" t="inlineStr">
        <is>
          <t>February</t>
        </is>
      </c>
    </row>
    <row r="26">
      <c r="A26" s="6" t="inlineStr">
        <is>
          <t>25/02/2025</t>
        </is>
      </c>
      <c r="B26" s="7" t="inlineStr">
        <is>
          <t>Grocery Shopping</t>
        </is>
      </c>
      <c r="C26" s="6" t="inlineStr">
        <is>
          <t>Food</t>
        </is>
      </c>
      <c r="D26" s="6" t="inlineStr">
        <is>
          <t>Expense</t>
        </is>
      </c>
      <c r="E26" s="8" t="n">
        <v>2600</v>
      </c>
      <c r="F26" s="6" t="inlineStr">
        <is>
          <t>February</t>
        </is>
      </c>
    </row>
    <row r="27">
      <c r="A27" s="3" t="inlineStr">
        <is>
          <t>01/03/2025</t>
        </is>
      </c>
      <c r="B27" s="4" t="inlineStr">
        <is>
          <t>Monthly Salary</t>
        </is>
      </c>
      <c r="C27" s="3" t="inlineStr">
        <is>
          <t>Salary</t>
        </is>
      </c>
      <c r="D27" s="3" t="inlineStr">
        <is>
          <t>Income</t>
        </is>
      </c>
      <c r="E27" s="5" t="n">
        <v>50000</v>
      </c>
      <c r="F27" s="3" t="inlineStr">
        <is>
          <t>March</t>
        </is>
      </c>
    </row>
    <row r="28">
      <c r="A28" s="3" t="inlineStr">
        <is>
          <t>02/03/2025</t>
        </is>
      </c>
      <c r="B28" s="4" t="inlineStr">
        <is>
          <t>Bonus</t>
        </is>
      </c>
      <c r="C28" s="3" t="inlineStr">
        <is>
          <t>Bonus</t>
        </is>
      </c>
      <c r="D28" s="3" t="inlineStr">
        <is>
          <t>Income</t>
        </is>
      </c>
      <c r="E28" s="5" t="n">
        <v>15000</v>
      </c>
      <c r="F28" s="3" t="inlineStr">
        <is>
          <t>March</t>
        </is>
      </c>
    </row>
    <row r="29">
      <c r="A29" s="9" t="inlineStr">
        <is>
          <t>03/03/2025</t>
        </is>
      </c>
      <c r="B29" s="10" t="inlineStr">
        <is>
          <t>House Rent</t>
        </is>
      </c>
      <c r="C29" s="9" t="inlineStr">
        <is>
          <t>Rent</t>
        </is>
      </c>
      <c r="D29" s="9" t="inlineStr">
        <is>
          <t>Expense</t>
        </is>
      </c>
      <c r="E29" s="11" t="n">
        <v>12000</v>
      </c>
      <c r="F29" s="9" t="inlineStr">
        <is>
          <t>March</t>
        </is>
      </c>
    </row>
    <row r="30">
      <c r="A30" s="6" t="inlineStr">
        <is>
          <t>05/03/2025</t>
        </is>
      </c>
      <c r="B30" s="7" t="inlineStr">
        <is>
          <t>Grocery Shopping</t>
        </is>
      </c>
      <c r="C30" s="6" t="inlineStr">
        <is>
          <t>Food</t>
        </is>
      </c>
      <c r="D30" s="6" t="inlineStr">
        <is>
          <t>Expense</t>
        </is>
      </c>
      <c r="E30" s="8" t="n">
        <v>4000</v>
      </c>
      <c r="F30" s="6" t="inlineStr">
        <is>
          <t>March</t>
        </is>
      </c>
    </row>
    <row r="31">
      <c r="A31" s="9" t="inlineStr">
        <is>
          <t>07/03/2025</t>
        </is>
      </c>
      <c r="B31" s="10" t="inlineStr">
        <is>
          <t>Electricity Bill</t>
        </is>
      </c>
      <c r="C31" s="9" t="inlineStr">
        <is>
          <t>Utilities</t>
        </is>
      </c>
      <c r="D31" s="9" t="inlineStr">
        <is>
          <t>Expense</t>
        </is>
      </c>
      <c r="E31" s="11" t="n">
        <v>1350</v>
      </c>
      <c r="F31" s="9" t="inlineStr">
        <is>
          <t>March</t>
        </is>
      </c>
    </row>
    <row r="32">
      <c r="A32" s="6" t="inlineStr">
        <is>
          <t>10/03/2025</t>
        </is>
      </c>
      <c r="B32" s="7" t="inlineStr">
        <is>
          <t>Bus &amp; Auto Fare</t>
        </is>
      </c>
      <c r="C32" s="6" t="inlineStr">
        <is>
          <t>Transport</t>
        </is>
      </c>
      <c r="D32" s="6" t="inlineStr">
        <is>
          <t>Expense</t>
        </is>
      </c>
      <c r="E32" s="8" t="n">
        <v>800</v>
      </c>
      <c r="F32" s="6" t="inlineStr">
        <is>
          <t>March</t>
        </is>
      </c>
    </row>
    <row r="33">
      <c r="A33" s="9" t="inlineStr">
        <is>
          <t>12/03/2025</t>
        </is>
      </c>
      <c r="B33" s="10" t="inlineStr">
        <is>
          <t>Restaurant Lunch</t>
        </is>
      </c>
      <c r="C33" s="9" t="inlineStr">
        <is>
          <t>Food</t>
        </is>
      </c>
      <c r="D33" s="9" t="inlineStr">
        <is>
          <t>Expense</t>
        </is>
      </c>
      <c r="E33" s="11" t="n">
        <v>1200</v>
      </c>
      <c r="F33" s="9" t="inlineStr">
        <is>
          <t>March</t>
        </is>
      </c>
    </row>
    <row r="34">
      <c r="A34" s="3" t="inlineStr">
        <is>
          <t>14/03/2025</t>
        </is>
      </c>
      <c r="B34" s="4" t="inlineStr">
        <is>
          <t>Freelance Payment</t>
        </is>
      </c>
      <c r="C34" s="3" t="inlineStr">
        <is>
          <t>Freelance</t>
        </is>
      </c>
      <c r="D34" s="3" t="inlineStr">
        <is>
          <t>Income</t>
        </is>
      </c>
      <c r="E34" s="5" t="n">
        <v>7000</v>
      </c>
      <c r="F34" s="3" t="inlineStr">
        <is>
          <t>March</t>
        </is>
      </c>
    </row>
    <row r="35">
      <c r="A35" s="9" t="inlineStr">
        <is>
          <t>16/03/2025</t>
        </is>
      </c>
      <c r="B35" s="10" t="inlineStr">
        <is>
          <t>Doctor &amp; Medicine</t>
        </is>
      </c>
      <c r="C35" s="9" t="inlineStr">
        <is>
          <t>Healthcare</t>
        </is>
      </c>
      <c r="D35" s="9" t="inlineStr">
        <is>
          <t>Expense</t>
        </is>
      </c>
      <c r="E35" s="11" t="n">
        <v>900</v>
      </c>
      <c r="F35" s="9" t="inlineStr">
        <is>
          <t>March</t>
        </is>
      </c>
    </row>
    <row r="36">
      <c r="A36" s="6" t="inlineStr">
        <is>
          <t>18/03/2025</t>
        </is>
      </c>
      <c r="B36" s="7" t="inlineStr">
        <is>
          <t>Mobile Recharge</t>
        </is>
      </c>
      <c r="C36" s="6" t="inlineStr">
        <is>
          <t>Utilities</t>
        </is>
      </c>
      <c r="D36" s="6" t="inlineStr">
        <is>
          <t>Expense</t>
        </is>
      </c>
      <c r="E36" s="8" t="n">
        <v>499</v>
      </c>
      <c r="F36" s="6" t="inlineStr">
        <is>
          <t>March</t>
        </is>
      </c>
    </row>
    <row r="37">
      <c r="A37" s="9" t="inlineStr">
        <is>
          <t>20/03/2025</t>
        </is>
      </c>
      <c r="B37" s="10" t="inlineStr">
        <is>
          <t>OTT Subscription</t>
        </is>
      </c>
      <c r="C37" s="9" t="inlineStr">
        <is>
          <t>Entertainment</t>
        </is>
      </c>
      <c r="D37" s="9" t="inlineStr">
        <is>
          <t>Expense</t>
        </is>
      </c>
      <c r="E37" s="11" t="n">
        <v>499</v>
      </c>
      <c r="F37" s="9" t="inlineStr">
        <is>
          <t>March</t>
        </is>
      </c>
    </row>
    <row r="38">
      <c r="A38" s="6" t="inlineStr">
        <is>
          <t>22/03/2025</t>
        </is>
      </c>
      <c r="B38" s="7" t="inlineStr">
        <is>
          <t>Internet Bill</t>
        </is>
      </c>
      <c r="C38" s="6" t="inlineStr">
        <is>
          <t>Utilities</t>
        </is>
      </c>
      <c r="D38" s="6" t="inlineStr">
        <is>
          <t>Expense</t>
        </is>
      </c>
      <c r="E38" s="8" t="n">
        <v>799</v>
      </c>
      <c r="F38" s="6" t="inlineStr">
        <is>
          <t>March</t>
        </is>
      </c>
    </row>
    <row r="39">
      <c r="A39" s="9" t="inlineStr">
        <is>
          <t>25/03/2025</t>
        </is>
      </c>
      <c r="B39" s="10" t="inlineStr">
        <is>
          <t>Grocery Shopping</t>
        </is>
      </c>
      <c r="C39" s="9" t="inlineStr">
        <is>
          <t>Food</t>
        </is>
      </c>
      <c r="D39" s="9" t="inlineStr">
        <is>
          <t>Expense</t>
        </is>
      </c>
      <c r="E39" s="11" t="n">
        <v>3100</v>
      </c>
      <c r="F39" s="9" t="inlineStr">
        <is>
          <t>March</t>
        </is>
      </c>
    </row>
    <row r="40">
      <c r="A40" s="3" t="inlineStr">
        <is>
          <t>01/04/2025</t>
        </is>
      </c>
      <c r="B40" s="4" t="inlineStr">
        <is>
          <t>Monthly Salary</t>
        </is>
      </c>
      <c r="C40" s="3" t="inlineStr">
        <is>
          <t>Salary</t>
        </is>
      </c>
      <c r="D40" s="3" t="inlineStr">
        <is>
          <t>Income</t>
        </is>
      </c>
      <c r="E40" s="5" t="n">
        <v>50000</v>
      </c>
      <c r="F40" s="3" t="inlineStr">
        <is>
          <t>April</t>
        </is>
      </c>
    </row>
    <row r="41">
      <c r="A41" s="9" t="inlineStr">
        <is>
          <t>03/04/2025</t>
        </is>
      </c>
      <c r="B41" s="10" t="inlineStr">
        <is>
          <t>House Rent</t>
        </is>
      </c>
      <c r="C41" s="9" t="inlineStr">
        <is>
          <t>Rent</t>
        </is>
      </c>
      <c r="D41" s="9" t="inlineStr">
        <is>
          <t>Expense</t>
        </is>
      </c>
      <c r="E41" s="11" t="n">
        <v>12000</v>
      </c>
      <c r="F41" s="9" t="inlineStr">
        <is>
          <t>April</t>
        </is>
      </c>
    </row>
    <row r="42">
      <c r="A42" s="6" t="inlineStr">
        <is>
          <t>05/04/2025</t>
        </is>
      </c>
      <c r="B42" s="7" t="inlineStr">
        <is>
          <t>Grocery Shopping</t>
        </is>
      </c>
      <c r="C42" s="6" t="inlineStr">
        <is>
          <t>Food</t>
        </is>
      </c>
      <c r="D42" s="6" t="inlineStr">
        <is>
          <t>Expense</t>
        </is>
      </c>
      <c r="E42" s="8" t="n">
        <v>3800</v>
      </c>
      <c r="F42" s="6" t="inlineStr">
        <is>
          <t>April</t>
        </is>
      </c>
    </row>
    <row r="43">
      <c r="A43" s="9" t="inlineStr">
        <is>
          <t>07/04/2025</t>
        </is>
      </c>
      <c r="B43" s="10" t="inlineStr">
        <is>
          <t>Electricity Bill</t>
        </is>
      </c>
      <c r="C43" s="9" t="inlineStr">
        <is>
          <t>Utilities</t>
        </is>
      </c>
      <c r="D43" s="9" t="inlineStr">
        <is>
          <t>Expense</t>
        </is>
      </c>
      <c r="E43" s="11" t="n">
        <v>1250</v>
      </c>
      <c r="F43" s="9" t="inlineStr">
        <is>
          <t>April</t>
        </is>
      </c>
    </row>
    <row r="44">
      <c r="A44" s="6" t="inlineStr">
        <is>
          <t>09/04/2025</t>
        </is>
      </c>
      <c r="B44" s="7" t="inlineStr">
        <is>
          <t>Petrol</t>
        </is>
      </c>
      <c r="C44" s="6" t="inlineStr">
        <is>
          <t>Transport</t>
        </is>
      </c>
      <c r="D44" s="6" t="inlineStr">
        <is>
          <t>Expense</t>
        </is>
      </c>
      <c r="E44" s="8" t="n">
        <v>1400</v>
      </c>
      <c r="F44" s="6" t="inlineStr">
        <is>
          <t>April</t>
        </is>
      </c>
    </row>
    <row r="45">
      <c r="A45" s="3" t="inlineStr">
        <is>
          <t>12/04/2025</t>
        </is>
      </c>
      <c r="B45" s="4" t="inlineStr">
        <is>
          <t>Freelance Payment</t>
        </is>
      </c>
      <c r="C45" s="3" t="inlineStr">
        <is>
          <t>Freelance</t>
        </is>
      </c>
      <c r="D45" s="3" t="inlineStr">
        <is>
          <t>Income</t>
        </is>
      </c>
      <c r="E45" s="5" t="n">
        <v>9000</v>
      </c>
      <c r="F45" s="3" t="inlineStr">
        <is>
          <t>April</t>
        </is>
      </c>
    </row>
    <row r="46">
      <c r="A46" s="6" t="inlineStr">
        <is>
          <t>14/04/2025</t>
        </is>
      </c>
      <c r="B46" s="7" t="inlineStr">
        <is>
          <t>Restaurant Dinner</t>
        </is>
      </c>
      <c r="C46" s="6" t="inlineStr">
        <is>
          <t>Food</t>
        </is>
      </c>
      <c r="D46" s="6" t="inlineStr">
        <is>
          <t>Expense</t>
        </is>
      </c>
      <c r="E46" s="8" t="n">
        <v>2200</v>
      </c>
      <c r="F46" s="6" t="inlineStr">
        <is>
          <t>April</t>
        </is>
      </c>
    </row>
    <row r="47">
      <c r="A47" s="9" t="inlineStr">
        <is>
          <t>16/04/2025</t>
        </is>
      </c>
      <c r="B47" s="10" t="inlineStr">
        <is>
          <t>Gym Membership</t>
        </is>
      </c>
      <c r="C47" s="9" t="inlineStr">
        <is>
          <t>Healthcare</t>
        </is>
      </c>
      <c r="D47" s="9" t="inlineStr">
        <is>
          <t>Expense</t>
        </is>
      </c>
      <c r="E47" s="11" t="n">
        <v>1200</v>
      </c>
      <c r="F47" s="9" t="inlineStr">
        <is>
          <t>April</t>
        </is>
      </c>
    </row>
    <row r="48">
      <c r="A48" s="6" t="inlineStr">
        <is>
          <t>18/04/2025</t>
        </is>
      </c>
      <c r="B48" s="7" t="inlineStr">
        <is>
          <t>Mobile Recharge</t>
        </is>
      </c>
      <c r="C48" s="6" t="inlineStr">
        <is>
          <t>Utilities</t>
        </is>
      </c>
      <c r="D48" s="6" t="inlineStr">
        <is>
          <t>Expense</t>
        </is>
      </c>
      <c r="E48" s="8" t="n">
        <v>499</v>
      </c>
      <c r="F48" s="6" t="inlineStr">
        <is>
          <t>April</t>
        </is>
      </c>
    </row>
    <row r="49">
      <c r="A49" s="9" t="inlineStr">
        <is>
          <t>20/04/2025</t>
        </is>
      </c>
      <c r="B49" s="10" t="inlineStr">
        <is>
          <t>Movie Tickets</t>
        </is>
      </c>
      <c r="C49" s="9" t="inlineStr">
        <is>
          <t>Entertainment</t>
        </is>
      </c>
      <c r="D49" s="9" t="inlineStr">
        <is>
          <t>Expense</t>
        </is>
      </c>
      <c r="E49" s="11" t="n">
        <v>800</v>
      </c>
      <c r="F49" s="9" t="inlineStr">
        <is>
          <t>April</t>
        </is>
      </c>
    </row>
    <row r="50">
      <c r="A50" s="6" t="inlineStr">
        <is>
          <t>22/04/2025</t>
        </is>
      </c>
      <c r="B50" s="7" t="inlineStr">
        <is>
          <t>Internet Bill</t>
        </is>
      </c>
      <c r="C50" s="6" t="inlineStr">
        <is>
          <t>Utilities</t>
        </is>
      </c>
      <c r="D50" s="6" t="inlineStr">
        <is>
          <t>Expense</t>
        </is>
      </c>
      <c r="E50" s="8" t="n">
        <v>799</v>
      </c>
      <c r="F50" s="6" t="inlineStr">
        <is>
          <t>April</t>
        </is>
      </c>
    </row>
    <row r="51">
      <c r="A51" s="9" t="inlineStr">
        <is>
          <t>25/04/2025</t>
        </is>
      </c>
      <c r="B51" s="10" t="inlineStr">
        <is>
          <t>Grocery Shopping</t>
        </is>
      </c>
      <c r="C51" s="9" t="inlineStr">
        <is>
          <t>Food</t>
        </is>
      </c>
      <c r="D51" s="9" t="inlineStr">
        <is>
          <t>Expense</t>
        </is>
      </c>
      <c r="E51" s="11" t="n">
        <v>2900</v>
      </c>
      <c r="F51" s="9" t="inlineStr">
        <is>
          <t>April</t>
        </is>
      </c>
    </row>
    <row r="52">
      <c r="A52" s="6" t="inlineStr">
        <is>
          <t>28/04/2025</t>
        </is>
      </c>
      <c r="B52" s="7" t="inlineStr">
        <is>
          <t>Shopping Clothes</t>
        </is>
      </c>
      <c r="C52" s="6" t="inlineStr">
        <is>
          <t>Entertainment</t>
        </is>
      </c>
      <c r="D52" s="6" t="inlineStr">
        <is>
          <t>Expense</t>
        </is>
      </c>
      <c r="E52" s="8" t="n">
        <v>2500</v>
      </c>
      <c r="F52" s="6" t="inlineStr">
        <is>
          <t>April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 ht="35" customHeight="1">
      <c r="B1" s="12" t="inlineStr">
        <is>
          <t>📊 Personal Finance Summary Dashboard</t>
        </is>
      </c>
    </row>
    <row r="3" ht="22" customHeight="1">
      <c r="B3" s="13" t="inlineStr">
        <is>
          <t>💵 Total Income</t>
        </is>
      </c>
      <c r="D3" s="14" t="inlineStr">
        <is>
          <t>💸 Total Expenses</t>
        </is>
      </c>
      <c r="F3" s="15" t="inlineStr">
        <is>
          <t>💰 Net Savings</t>
        </is>
      </c>
      <c r="H3" s="16" t="inlineStr">
        <is>
          <t>📈 Savings Rate</t>
        </is>
      </c>
    </row>
    <row r="4" ht="28" customHeight="1">
      <c r="B4" s="17">
        <f>SUMIF(Transactions!D:D,"Income",Transactions!E:E)</f>
        <v/>
      </c>
      <c r="D4" s="18">
        <f>SUMIF(Transactions!D:D,"Expense",Transactions!E:E)</f>
        <v/>
      </c>
      <c r="F4" s="19">
        <f>B4-D4</f>
        <v/>
      </c>
      <c r="H4" s="20">
        <f>IF(B4&gt;0,F4/B4,0)</f>
        <v/>
      </c>
    </row>
    <row r="5" ht="8" customHeight="1"/>
    <row r="7" ht="20" customHeight="1">
      <c r="B7" s="21" t="inlineStr">
        <is>
          <t>📅 Monthly Breakdown</t>
        </is>
      </c>
    </row>
    <row r="8" ht="20" customHeight="1">
      <c r="B8" s="13" t="inlineStr">
        <is>
          <t>Month</t>
        </is>
      </c>
      <c r="C8" s="13" t="inlineStr">
        <is>
          <t>Income (₹)</t>
        </is>
      </c>
      <c r="D8" s="13" t="inlineStr">
        <is>
          <t>Expenses (₹)</t>
        </is>
      </c>
      <c r="E8" s="13" t="inlineStr">
        <is>
          <t>Savings (₹)</t>
        </is>
      </c>
      <c r="F8" s="13" t="inlineStr">
        <is>
          <t>Savings %</t>
        </is>
      </c>
    </row>
    <row r="9" ht="18" customHeight="1">
      <c r="B9" s="22" t="inlineStr">
        <is>
          <t>January</t>
        </is>
      </c>
      <c r="C9" s="11">
        <f>SUMIFS(Transactions!E:E,Transactions!F:F,"January",Transactions!D:D,"Income")</f>
        <v/>
      </c>
      <c r="D9" s="11">
        <f>SUMIFS(Transactions!E:E,Transactions!F:F,"January",Transactions!D:D,"Expense")</f>
        <v/>
      </c>
      <c r="E9" s="11">
        <f>C9-D9</f>
        <v/>
      </c>
      <c r="F9" s="23">
        <f>IF(C9&gt;0,E9/C9,0)</f>
        <v/>
      </c>
    </row>
    <row r="10" ht="18" customHeight="1">
      <c r="B10" s="24" t="inlineStr">
        <is>
          <t>February</t>
        </is>
      </c>
      <c r="C10" s="25">
        <f>SUMIFS(Transactions!E:E,Transactions!F:F,"February",Transactions!D:D,"Income")</f>
        <v/>
      </c>
      <c r="D10" s="25">
        <f>SUMIFS(Transactions!E:E,Transactions!F:F,"February",Transactions!D:D,"Expense")</f>
        <v/>
      </c>
      <c r="E10" s="25">
        <f>C10-D10</f>
        <v/>
      </c>
      <c r="F10" s="26">
        <f>IF(C10&gt;0,E10/C10,0)</f>
        <v/>
      </c>
    </row>
    <row r="11" ht="18" customHeight="1">
      <c r="B11" s="22" t="inlineStr">
        <is>
          <t>March</t>
        </is>
      </c>
      <c r="C11" s="11">
        <f>SUMIFS(Transactions!E:E,Transactions!F:F,"March",Transactions!D:D,"Income")</f>
        <v/>
      </c>
      <c r="D11" s="11">
        <f>SUMIFS(Transactions!E:E,Transactions!F:F,"March",Transactions!D:D,"Expense")</f>
        <v/>
      </c>
      <c r="E11" s="11">
        <f>C11-D11</f>
        <v/>
      </c>
      <c r="F11" s="23">
        <f>IF(C11&gt;0,E11/C11,0)</f>
        <v/>
      </c>
    </row>
    <row r="12" ht="18" customHeight="1">
      <c r="B12" s="24" t="inlineStr">
        <is>
          <t>April</t>
        </is>
      </c>
      <c r="C12" s="25">
        <f>SUMIFS(Transactions!E:E,Transactions!F:F,"April",Transactions!D:D,"Income")</f>
        <v/>
      </c>
      <c r="D12" s="25">
        <f>SUMIFS(Transactions!E:E,Transactions!F:F,"April",Transactions!D:D,"Expense")</f>
        <v/>
      </c>
      <c r="E12" s="25">
        <f>C12-D12</f>
        <v/>
      </c>
      <c r="F12" s="26">
        <f>IF(C12&gt;0,E12/C12,0)</f>
        <v/>
      </c>
    </row>
    <row r="13" ht="20" customHeight="1">
      <c r="B13" s="27" t="inlineStr">
        <is>
          <t>TOTAL</t>
        </is>
      </c>
      <c r="C13" s="28">
        <f>SUM(C9:C12)</f>
        <v/>
      </c>
      <c r="D13" s="28">
        <f>SUM(D9:D12)</f>
        <v/>
      </c>
      <c r="E13" s="28">
        <f>SUM(E9:E12)</f>
        <v/>
      </c>
      <c r="F13" s="29">
        <f>IF(C13&gt;0,E13/C13,0)</f>
        <v/>
      </c>
    </row>
    <row r="15" ht="20" customHeight="1">
      <c r="B15" s="21" t="inlineStr">
        <is>
          <t>🏷️ Expense by Category</t>
        </is>
      </c>
    </row>
    <row r="16" ht="20" customHeight="1">
      <c r="B16" s="14" t="inlineStr">
        <is>
          <t>Category</t>
        </is>
      </c>
      <c r="C16" s="14" t="inlineStr">
        <is>
          <t>Total Spent (₹)</t>
        </is>
      </c>
      <c r="D16" s="14" t="inlineStr">
        <is>
          <t>% of Expenses</t>
        </is>
      </c>
    </row>
    <row r="17" ht="18" customHeight="1">
      <c r="B17" s="22" t="inlineStr">
        <is>
          <t>Food</t>
        </is>
      </c>
      <c r="C17" s="11">
        <f>SUMIFS(Transactions!E:E,Transactions!C:C,"Food",Transactions!D:D,"Expense")</f>
        <v/>
      </c>
      <c r="D17" s="23">
        <f>IF(D4&gt;0,C17/D4,0)</f>
        <v/>
      </c>
    </row>
    <row r="18" ht="18" customHeight="1">
      <c r="B18" s="24" t="inlineStr">
        <is>
          <t>Rent</t>
        </is>
      </c>
      <c r="C18" s="25">
        <f>SUMIFS(Transactions!E:E,Transactions!C:C,"Rent",Transactions!D:D,"Expense")</f>
        <v/>
      </c>
      <c r="D18" s="26">
        <f>IF(D4&gt;0,C18/D4,0)</f>
        <v/>
      </c>
    </row>
    <row r="19" ht="18" customHeight="1">
      <c r="B19" s="22" t="inlineStr">
        <is>
          <t>Utilities</t>
        </is>
      </c>
      <c r="C19" s="11">
        <f>SUMIFS(Transactions!E:E,Transactions!C:C,"Utilities",Transactions!D:D,"Expense")</f>
        <v/>
      </c>
      <c r="D19" s="23">
        <f>IF(D4&gt;0,C19/D4,0)</f>
        <v/>
      </c>
    </row>
    <row r="20" ht="18" customHeight="1">
      <c r="B20" s="24" t="inlineStr">
        <is>
          <t>Transport</t>
        </is>
      </c>
      <c r="C20" s="25">
        <f>SUMIFS(Transactions!E:E,Transactions!C:C,"Transport",Transactions!D:D,"Expense")</f>
        <v/>
      </c>
      <c r="D20" s="26">
        <f>IF(D4&gt;0,C20/D4,0)</f>
        <v/>
      </c>
    </row>
    <row r="21" ht="18" customHeight="1">
      <c r="B21" s="22" t="inlineStr">
        <is>
          <t>Entertainment</t>
        </is>
      </c>
      <c r="C21" s="11">
        <f>SUMIFS(Transactions!E:E,Transactions!C:C,"Entertainment",Transactions!D:D,"Expense")</f>
        <v/>
      </c>
      <c r="D21" s="23">
        <f>IF(D4&gt;0,C21/D4,0)</f>
        <v/>
      </c>
    </row>
    <row r="22" ht="18" customHeight="1">
      <c r="B22" s="24" t="inlineStr">
        <is>
          <t>Healthcare</t>
        </is>
      </c>
      <c r="C22" s="25">
        <f>SUMIFS(Transactions!E:E,Transactions!C:C,"Healthcare",Transactions!D:D,"Expense")</f>
        <v/>
      </c>
      <c r="D22" s="26">
        <f>IF(D4&gt;0,C22/D4,0)</f>
        <v/>
      </c>
    </row>
  </sheetData>
  <mergeCells count="9">
    <mergeCell ref="F3:G3"/>
    <mergeCell ref="F4:G4"/>
    <mergeCell ref="B3:C3"/>
    <mergeCell ref="D3:E3"/>
    <mergeCell ref="D4:E4"/>
    <mergeCell ref="H4:I4"/>
    <mergeCell ref="B1:I1"/>
    <mergeCell ref="B4:C4"/>
    <mergeCell ref="H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30" t="inlineStr">
        <is>
          <t>Category</t>
        </is>
      </c>
      <c r="B1" s="30" t="inlineStr">
        <is>
          <t>Type</t>
        </is>
      </c>
    </row>
    <row r="2">
      <c r="A2" s="31" t="inlineStr">
        <is>
          <t>Salary</t>
        </is>
      </c>
      <c r="B2" s="31" t="inlineStr">
        <is>
          <t>Income</t>
        </is>
      </c>
    </row>
    <row r="3">
      <c r="A3" s="31" t="inlineStr">
        <is>
          <t>Freelance</t>
        </is>
      </c>
      <c r="B3" s="31" t="inlineStr">
        <is>
          <t>Income</t>
        </is>
      </c>
    </row>
    <row r="4">
      <c r="A4" s="31" t="inlineStr">
        <is>
          <t>Bonus</t>
        </is>
      </c>
      <c r="B4" s="31" t="inlineStr">
        <is>
          <t>Income</t>
        </is>
      </c>
    </row>
    <row r="5">
      <c r="A5" s="31" t="inlineStr">
        <is>
          <t>Food</t>
        </is>
      </c>
      <c r="B5" s="31" t="inlineStr">
        <is>
          <t>Expense</t>
        </is>
      </c>
    </row>
    <row r="6">
      <c r="A6" s="31" t="inlineStr">
        <is>
          <t>Rent</t>
        </is>
      </c>
      <c r="B6" s="31" t="inlineStr">
        <is>
          <t>Expense</t>
        </is>
      </c>
    </row>
    <row r="7">
      <c r="A7" s="31" t="inlineStr">
        <is>
          <t>Utilities</t>
        </is>
      </c>
      <c r="B7" s="31" t="inlineStr">
        <is>
          <t>Expense</t>
        </is>
      </c>
    </row>
    <row r="8">
      <c r="A8" s="31" t="inlineStr">
        <is>
          <t>Transport</t>
        </is>
      </c>
      <c r="B8" s="31" t="inlineStr">
        <is>
          <t>Expense</t>
        </is>
      </c>
    </row>
    <row r="9">
      <c r="A9" s="31" t="inlineStr">
        <is>
          <t>Entertainment</t>
        </is>
      </c>
      <c r="B9" s="31" t="inlineStr">
        <is>
          <t>Expense</t>
        </is>
      </c>
    </row>
    <row r="10">
      <c r="A10" s="31" t="inlineStr">
        <is>
          <t>Healthcare</t>
        </is>
      </c>
      <c r="B10" s="31" t="inlineStr">
        <is>
          <t>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2026-04-20T08:04:52Z</dcterms:created>
  <dcterms:modified xmlns:dcterms="http://purl.org/dc/terms/" xmlns:xsi="http://www.w3.org/2001/XMLSchema-instance" xsi:type="dcterms:W3CDTF">2026-04-20T08:04:52Z</dcterms:modified>
</cp:coreProperties>
</file>